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2. Digital Transformation Metrology\CABUREK 2024 - 2025\DCC Development\Sertifikat template\"/>
    </mc:Choice>
  </mc:AlternateContent>
  <xr:revisionPtr revIDLastSave="0" documentId="8_{3A3ED696-2392-4E4A-A751-354797826AFA}" xr6:coauthVersionLast="47" xr6:coauthVersionMax="47" xr10:uidLastSave="{00000000-0000-0000-0000-000000000000}"/>
  <bookViews>
    <workbookView xWindow="-110" yWindow="-110" windowWidth="19420" windowHeight="10420" xr2:uid="{C1BCEEFF-6E49-4CF0-AA82-7016F451F1F0}"/>
  </bookViews>
  <sheets>
    <sheet name="Template" sheetId="1" r:id="rId1"/>
  </sheets>
  <externalReferences>
    <externalReference r:id="rId2"/>
    <externalReference r:id="rId3"/>
    <externalReference r:id="rId4"/>
  </externalReferences>
  <definedNames>
    <definedName name="A" localSheetId="0">#REF!</definedName>
    <definedName name="A">#REF!</definedName>
    <definedName name="Ac" localSheetId="0">#REF!</definedName>
    <definedName name="Ac">#REF!</definedName>
    <definedName name="At" localSheetId="0">#REF!</definedName>
    <definedName name="At">#REF!</definedName>
    <definedName name="bi" localSheetId="0">[2]eva!#REF!</definedName>
    <definedName name="bi">[2]eva!#REF!</definedName>
    <definedName name="Cp" localSheetId="0">#REF!</definedName>
    <definedName name="Cp">#REF!</definedName>
    <definedName name="Cpd">#REF!</definedName>
    <definedName name="Cpi">#REF!</definedName>
    <definedName name="Cs">#REF!</definedName>
    <definedName name="Csd">#REF!</definedName>
    <definedName name="Csi">#REF!</definedName>
    <definedName name="D">#REF!</definedName>
    <definedName name="Dd">#REF!</definedName>
    <definedName name="Di">#REF!</definedName>
    <definedName name="f">#REF!</definedName>
    <definedName name="fd">#REF!</definedName>
    <definedName name="fdd">'[3]100 nF'!$G$19</definedName>
    <definedName name="fi">#REF!</definedName>
    <definedName name="G">#REF!</definedName>
    <definedName name="Gd">#REF!</definedName>
    <definedName name="Gi">#REF!</definedName>
    <definedName name="Gix">'[3]100 nF'!$E$14</definedName>
    <definedName name="Nc">#REF!</definedName>
    <definedName name="Nv">#REF!</definedName>
    <definedName name="q">[2]eva!#REF!</definedName>
    <definedName name="Rp">#REF!</definedName>
    <definedName name="Rpd">#REF!</definedName>
    <definedName name="Rpi">#REF!</definedName>
    <definedName name="Rs">#REF!</definedName>
    <definedName name="Rsd">#REF!</definedName>
    <definedName name="Rsi">#REF!</definedName>
    <definedName name="t">#REF!</definedName>
    <definedName name="td">#REF!</definedName>
    <definedName name="ti">#REF!</definedName>
    <definedName name="V">#REF!</definedName>
    <definedName name="Vd">#REF!</definedName>
    <definedName name="Vi">#REF!</definedName>
    <definedName name="Vix">'[3]100 nF'!$E$22</definedName>
    <definedName name="w">#REF!</definedName>
    <definedName name="wd">#REF!</definedName>
    <definedName name="wdx">'[3]100 nF'!$G$20</definedName>
    <definedName name="wi">#REF!</definedName>
    <definedName name="wix">'[3]100 nF'!$E$20</definedName>
    <definedName name="x">[2]eva!#REF!</definedName>
    <definedName name="y">[2]eva!#REF!</definedName>
    <definedName name="z">[2]eva!#REF!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2" i="1" l="1"/>
  <c r="I32" i="1"/>
  <c r="H32" i="1"/>
  <c r="G32" i="1"/>
  <c r="F32" i="1"/>
  <c r="E32" i="1"/>
  <c r="D32" i="1"/>
  <c r="C32" i="1"/>
  <c r="B32" i="1"/>
  <c r="A32" i="1"/>
  <c r="J31" i="1"/>
  <c r="I31" i="1"/>
  <c r="H31" i="1"/>
  <c r="G31" i="1"/>
  <c r="F31" i="1"/>
  <c r="E31" i="1"/>
  <c r="D31" i="1"/>
  <c r="C31" i="1"/>
  <c r="B31" i="1"/>
  <c r="A31" i="1"/>
  <c r="J30" i="1"/>
  <c r="I30" i="1"/>
  <c r="H30" i="1"/>
  <c r="G30" i="1"/>
  <c r="F30" i="1"/>
  <c r="E30" i="1"/>
  <c r="D30" i="1"/>
  <c r="C30" i="1"/>
  <c r="B30" i="1"/>
  <c r="A30" i="1"/>
  <c r="J29" i="1"/>
  <c r="I29" i="1"/>
  <c r="H29" i="1"/>
  <c r="G29" i="1"/>
  <c r="F29" i="1"/>
  <c r="E29" i="1"/>
  <c r="D29" i="1"/>
  <c r="C29" i="1"/>
  <c r="B29" i="1"/>
  <c r="A29" i="1"/>
  <c r="J28" i="1"/>
  <c r="I28" i="1"/>
  <c r="H28" i="1"/>
  <c r="G28" i="1"/>
  <c r="F28" i="1"/>
  <c r="E28" i="1"/>
  <c r="D28" i="1"/>
  <c r="C28" i="1"/>
  <c r="B28" i="1"/>
  <c r="A28" i="1"/>
  <c r="J27" i="1"/>
  <c r="I27" i="1"/>
  <c r="H27" i="1"/>
  <c r="G27" i="1"/>
  <c r="F27" i="1"/>
  <c r="E27" i="1"/>
  <c r="D27" i="1"/>
  <c r="C27" i="1"/>
  <c r="B27" i="1"/>
  <c r="A27" i="1"/>
  <c r="J26" i="1"/>
  <c r="I26" i="1"/>
  <c r="H26" i="1"/>
  <c r="G26" i="1"/>
  <c r="F26" i="1"/>
  <c r="E26" i="1"/>
  <c r="D26" i="1"/>
  <c r="C26" i="1"/>
  <c r="B26" i="1"/>
  <c r="A26" i="1"/>
  <c r="J25" i="1"/>
  <c r="I25" i="1"/>
  <c r="H25" i="1"/>
  <c r="G25" i="1"/>
  <c r="F25" i="1"/>
  <c r="E25" i="1"/>
  <c r="D25" i="1"/>
  <c r="C25" i="1"/>
  <c r="B25" i="1"/>
  <c r="A25" i="1"/>
  <c r="J24" i="1"/>
  <c r="I24" i="1"/>
  <c r="H24" i="1"/>
  <c r="G24" i="1"/>
  <c r="F24" i="1"/>
  <c r="E24" i="1"/>
  <c r="D24" i="1"/>
  <c r="C24" i="1"/>
  <c r="B24" i="1"/>
  <c r="A24" i="1"/>
  <c r="J19" i="1"/>
  <c r="I19" i="1"/>
  <c r="H19" i="1"/>
  <c r="G19" i="1"/>
  <c r="F19" i="1"/>
  <c r="E19" i="1"/>
  <c r="D19" i="1"/>
  <c r="C19" i="1"/>
  <c r="B19" i="1"/>
  <c r="A19" i="1"/>
  <c r="J18" i="1"/>
  <c r="I18" i="1"/>
  <c r="H18" i="1"/>
  <c r="G18" i="1"/>
  <c r="F18" i="1"/>
  <c r="E18" i="1"/>
  <c r="D18" i="1"/>
  <c r="C18" i="1"/>
  <c r="B18" i="1"/>
  <c r="A18" i="1"/>
  <c r="J17" i="1"/>
  <c r="I17" i="1"/>
  <c r="H17" i="1"/>
  <c r="G17" i="1"/>
  <c r="F17" i="1"/>
  <c r="E17" i="1"/>
  <c r="D17" i="1"/>
  <c r="C17" i="1"/>
  <c r="B17" i="1"/>
  <c r="A17" i="1"/>
  <c r="J16" i="1"/>
  <c r="I16" i="1"/>
  <c r="H16" i="1"/>
  <c r="G16" i="1"/>
  <c r="F16" i="1"/>
  <c r="E16" i="1"/>
  <c r="D16" i="1"/>
  <c r="C16" i="1"/>
  <c r="B16" i="1"/>
  <c r="A16" i="1"/>
  <c r="J15" i="1"/>
  <c r="I15" i="1"/>
  <c r="H15" i="1"/>
  <c r="G15" i="1"/>
  <c r="F15" i="1"/>
  <c r="E15" i="1"/>
  <c r="D15" i="1"/>
  <c r="C15" i="1"/>
  <c r="B15" i="1"/>
  <c r="A15" i="1"/>
  <c r="J14" i="1"/>
  <c r="I14" i="1"/>
  <c r="H14" i="1"/>
  <c r="G14" i="1"/>
  <c r="F14" i="1"/>
  <c r="E14" i="1"/>
  <c r="D14" i="1"/>
  <c r="C14" i="1"/>
  <c r="B14" i="1"/>
  <c r="A14" i="1"/>
  <c r="J13" i="1"/>
  <c r="I13" i="1"/>
  <c r="H13" i="1"/>
  <c r="G13" i="1"/>
  <c r="F13" i="1"/>
  <c r="E13" i="1"/>
  <c r="D13" i="1"/>
  <c r="C13" i="1"/>
  <c r="B13" i="1"/>
  <c r="A13" i="1"/>
  <c r="J12" i="1"/>
  <c r="I12" i="1"/>
  <c r="H12" i="1"/>
  <c r="G12" i="1"/>
  <c r="F12" i="1"/>
  <c r="E12" i="1"/>
  <c r="D12" i="1"/>
  <c r="C12" i="1"/>
  <c r="B12" i="1"/>
  <c r="A12" i="1"/>
  <c r="J11" i="1"/>
  <c r="I11" i="1"/>
  <c r="H11" i="1"/>
  <c r="G11" i="1"/>
  <c r="F11" i="1"/>
  <c r="E11" i="1"/>
  <c r="D11" i="1"/>
  <c r="C11" i="1"/>
  <c r="B11" i="1"/>
  <c r="A11" i="1"/>
</calcChain>
</file>

<file path=xl/sharedStrings.xml><?xml version="1.0" encoding="utf-8"?>
<sst xmlns="http://schemas.openxmlformats.org/spreadsheetml/2006/main" count="27" uniqueCount="12">
  <si>
    <t>Koreksi</t>
  </si>
  <si>
    <t>Ketidakpastian</t>
  </si>
  <si>
    <t>Correction</t>
  </si>
  <si>
    <t>Uncertainty</t>
  </si>
  <si>
    <t>Judul Tabel / Paramater Ukur/Quantity (Contoh : Tegangan DC/DC Voltage)</t>
  </si>
  <si>
    <t>Judul Kolom</t>
  </si>
  <si>
    <t>Column Title</t>
  </si>
  <si>
    <t>Kolom ketidakpastian selalu diletakkan paling akhir</t>
  </si>
  <si>
    <t>Tidak boleh ada kolom kosong diantara semua angka dan satuan, dan diantara satuan dan angka</t>
  </si>
  <si>
    <t>Tidak boleh ada kolom yang di-merged</t>
  </si>
  <si>
    <t>Catatan :</t>
  </si>
  <si>
    <t>Satuan harus diletakkan persis disamping angka, tidak boleh dipisahkan oleh kolom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</si>
</sst>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\ \ \ \ \ "/>
    <numFmt numFmtId="168" formatCode="0.000\ 00\ \ \ "/>
    <numFmt numFmtId="169" formatCode="0.0000\ \ \ "/>
    <numFmt numFmtId="170" formatCode="0.000\ \ \ \ \ \ 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12"/>
      <name val="Times New Roman"/>
      <family val="1"/>
    </font>
    <font>
      <sz val="10"/>
      <name val="Arial"/>
      <family val="2"/>
    </font>
    <font>
      <b/>
      <i/>
      <sz val="10"/>
      <name val="Times New Roman"/>
      <family val="1"/>
    </font>
    <font>
      <b/>
      <sz val="10"/>
      <color theme="1"/>
      <name val="Courier New"/>
      <family val="3"/>
    </font>
    <font>
      <b/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5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1" applyFont="1" applyBorder="1" applyAlignment="1">
      <alignment vertical="center"/>
    </xf>
    <xf numFmtId="0" fontId="4" fillId="0" borderId="1" xfId="2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6" fillId="0" borderId="2" xfId="2" applyFont="1" applyBorder="1" applyAlignment="1">
      <alignment vertical="center"/>
    </xf>
    <xf numFmtId="0" fontId="7" fillId="0" borderId="1" xfId="0" applyFont="1" applyBorder="1"/>
    <xf numFmtId="1" fontId="7" fillId="0" borderId="0" xfId="0" applyNumberFormat="1" applyFont="1"/>
    <xf numFmtId="0" fontId="7" fillId="0" borderId="0" xfId="0" applyFont="1"/>
    <xf numFmtId="164" fontId="7" fillId="0" borderId="0" xfId="0" applyNumberFormat="1" applyFont="1" applyAlignment="1">
      <alignment horizontal="right" vertical="center"/>
    </xf>
    <xf numFmtId="164" fontId="7" fillId="0" borderId="0" xfId="0" applyNumberFormat="1" applyFont="1"/>
    <xf numFmtId="0" fontId="7" fillId="0" borderId="0" xfId="0" applyFont="1" applyAlignment="1">
      <alignment horizontal="right"/>
    </xf>
    <xf numFmtId="169" fontId="7" fillId="0" borderId="0" xfId="0" applyNumberFormat="1" applyFont="1" applyAlignment="1">
      <alignment horizontal="right"/>
    </xf>
    <xf numFmtId="0" fontId="2" fillId="0" borderId="2" xfId="0" applyFont="1" applyBorder="1"/>
    <xf numFmtId="0" fontId="4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169" fontId="7" fillId="0" borderId="0" xfId="0" applyNumberFormat="1" applyFont="1"/>
    <xf numFmtId="170" fontId="7" fillId="0" borderId="0" xfId="0" applyNumberFormat="1" applyFont="1" applyAlignment="1">
      <alignment horizontal="right" vertical="center"/>
    </xf>
    <xf numFmtId="169" fontId="7" fillId="0" borderId="0" xfId="0" applyNumberFormat="1" applyFont="1" applyAlignment="1">
      <alignment horizontal="right"/>
    </xf>
    <xf numFmtId="168" fontId="7" fillId="0" borderId="0" xfId="0" applyNumberFormat="1" applyFont="1"/>
    <xf numFmtId="0" fontId="8" fillId="0" borderId="0" xfId="0" applyFont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8" xfId="0" applyFill="1" applyBorder="1"/>
  </cellXfs>
  <cellStyles count="4">
    <cellStyle name="Normal" xfId="0" builtinId="0"/>
    <cellStyle name="Normal 2 2" xfId="3" xr:uid="{4FF84213-1420-4EDD-B167-98F9557D068A}"/>
    <cellStyle name="Normal 4 12 2 2 2 2 3 4" xfId="1" xr:uid="{CF899AC0-641E-4B96-B1B4-070AF1C34101}"/>
    <cellStyle name="Normal 9 3" xfId="2" xr:uid="{FE0AB080-4036-474E-9423-228FC836B3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12.%20Digital%20Transformation%20Metrology\CABUREK%202024%20-%202025\DCC%20Development\Sertifikat%20template\DMM_sample.xlsx" TargetMode="External"/><Relationship Id="rId1" Type="http://schemas.openxmlformats.org/officeDocument/2006/relationships/externalLinkPath" Target="DMM_s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kluk%20Khairiyati\Downloads\Sertifikat%20Standard%20Kapasitor\JE-18-04-27_Standar%20Kapasitor%201000%20pF_General%20Radio_1404-A_27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kluk%20Khairiyati\Downloads\ah270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  <sheetName val="Data"/>
      <sheetName val="Eval"/>
      <sheetName val="Lap"/>
      <sheetName val="Laporan"/>
    </sheetNames>
    <sheetDataSet>
      <sheetData sheetId="0"/>
      <sheetData sheetId="1"/>
      <sheetData sheetId="2">
        <row r="4">
          <cell r="A4">
            <v>100</v>
          </cell>
          <cell r="B4" t="str">
            <v>mV</v>
          </cell>
          <cell r="D4">
            <v>0</v>
          </cell>
          <cell r="E4" t="str">
            <v>mV</v>
          </cell>
          <cell r="H4">
            <v>0</v>
          </cell>
          <cell r="I4" t="str">
            <v>mV</v>
          </cell>
          <cell r="L4">
            <v>-2.1072998394151658E-5</v>
          </cell>
          <cell r="M4" t="str">
            <v>mV</v>
          </cell>
          <cell r="AG4">
            <v>1.3270379326213483E-3</v>
          </cell>
          <cell r="AH4" t="str">
            <v>mV</v>
          </cell>
        </row>
        <row r="5">
          <cell r="A5">
            <v>100</v>
          </cell>
          <cell r="B5" t="str">
            <v>mV</v>
          </cell>
          <cell r="D5">
            <v>10</v>
          </cell>
          <cell r="E5" t="str">
            <v>mV</v>
          </cell>
          <cell r="H5">
            <v>10</v>
          </cell>
          <cell r="I5" t="str">
            <v>mV</v>
          </cell>
          <cell r="L5">
            <v>-1.1587106459387542E-4</v>
          </cell>
          <cell r="M5" t="str">
            <v>mV</v>
          </cell>
          <cell r="AG5">
            <v>1.3642618135625006E-3</v>
          </cell>
          <cell r="AH5" t="str">
            <v>mV</v>
          </cell>
        </row>
        <row r="6">
          <cell r="A6">
            <v>100</v>
          </cell>
          <cell r="B6" t="str">
            <v>mV</v>
          </cell>
          <cell r="D6">
            <v>-10</v>
          </cell>
          <cell r="E6" t="str">
            <v>mV</v>
          </cell>
          <cell r="H6">
            <v>-10</v>
          </cell>
          <cell r="I6" t="str">
            <v>mV</v>
          </cell>
          <cell r="L6">
            <v>-2.3787310221123903E-5</v>
          </cell>
          <cell r="M6" t="str">
            <v>mV</v>
          </cell>
          <cell r="AG6">
            <v>1.3616158512643525E-3</v>
          </cell>
          <cell r="AH6" t="str">
            <v>mV</v>
          </cell>
        </row>
        <row r="7">
          <cell r="A7">
            <v>100</v>
          </cell>
          <cell r="B7" t="str">
            <v>mV</v>
          </cell>
          <cell r="D7">
            <v>50</v>
          </cell>
          <cell r="E7" t="str">
            <v>mV</v>
          </cell>
          <cell r="H7">
            <v>50</v>
          </cell>
          <cell r="I7" t="str">
            <v>mV</v>
          </cell>
          <cell r="L7">
            <v>-4.950633293887563E-4</v>
          </cell>
          <cell r="M7" t="str">
            <v>mV</v>
          </cell>
          <cell r="AG7">
            <v>1.5741858775025054E-3</v>
          </cell>
          <cell r="AH7" t="str">
            <v>mV</v>
          </cell>
        </row>
        <row r="8">
          <cell r="A8">
            <v>100</v>
          </cell>
          <cell r="B8" t="str">
            <v>mV</v>
          </cell>
          <cell r="D8">
            <v>-50</v>
          </cell>
          <cell r="E8" t="str">
            <v>mV</v>
          </cell>
          <cell r="H8">
            <v>-50</v>
          </cell>
          <cell r="I8" t="str">
            <v>mV</v>
          </cell>
          <cell r="L8">
            <v>-7.1413584237234318E-5</v>
          </cell>
          <cell r="M8" t="str">
            <v>mV</v>
          </cell>
          <cell r="AG8">
            <v>1.5605757067291694E-3</v>
          </cell>
          <cell r="AH8" t="str">
            <v>mV</v>
          </cell>
        </row>
        <row r="9">
          <cell r="A9">
            <v>100</v>
          </cell>
          <cell r="B9" t="str">
            <v>mV</v>
          </cell>
          <cell r="D9">
            <v>90</v>
          </cell>
          <cell r="E9" t="str">
            <v>mV</v>
          </cell>
          <cell r="H9">
            <v>90</v>
          </cell>
          <cell r="I9" t="str">
            <v>mV</v>
          </cell>
          <cell r="L9">
            <v>-8.7425559418363719E-4</v>
          </cell>
          <cell r="M9" t="str">
            <v>mV</v>
          </cell>
          <cell r="AG9">
            <v>1.8243897925192178E-3</v>
          </cell>
          <cell r="AH9" t="str">
            <v>mV</v>
          </cell>
        </row>
        <row r="10">
          <cell r="A10">
            <v>100</v>
          </cell>
          <cell r="B10" t="str">
            <v>mV</v>
          </cell>
          <cell r="D10">
            <v>-90</v>
          </cell>
          <cell r="E10" t="str">
            <v>mV</v>
          </cell>
          <cell r="H10">
            <v>-90</v>
          </cell>
          <cell r="I10" t="str">
            <v>mV</v>
          </cell>
          <cell r="L10">
            <v>-1.1903985824801566E-4</v>
          </cell>
          <cell r="M10" t="str">
            <v>mV</v>
          </cell>
          <cell r="AG10">
            <v>1.8032863344270103E-3</v>
          </cell>
          <cell r="AH10" t="str">
            <v>mV</v>
          </cell>
        </row>
        <row r="11">
          <cell r="A11">
            <v>100</v>
          </cell>
          <cell r="B11" t="str">
            <v>mV</v>
          </cell>
          <cell r="D11">
            <v>100</v>
          </cell>
          <cell r="E11" t="str">
            <v>mV</v>
          </cell>
          <cell r="H11">
            <v>100</v>
          </cell>
          <cell r="I11" t="str">
            <v>mV</v>
          </cell>
          <cell r="L11">
            <v>-9.6905366038413376E-4</v>
          </cell>
          <cell r="M11" t="str">
            <v>mV</v>
          </cell>
          <cell r="AG11">
            <v>1.8929754069308114E-3</v>
          </cell>
          <cell r="AH11" t="str">
            <v>mV</v>
          </cell>
        </row>
        <row r="12">
          <cell r="A12">
            <v>100</v>
          </cell>
          <cell r="B12" t="str">
            <v>mV</v>
          </cell>
          <cell r="D12">
            <v>-100</v>
          </cell>
          <cell r="E12" t="str">
            <v>mV</v>
          </cell>
          <cell r="H12">
            <v>-100</v>
          </cell>
          <cell r="I12" t="str">
            <v>mV</v>
          </cell>
          <cell r="L12">
            <v>-1.30946426750711E-4</v>
          </cell>
          <cell r="M12" t="str">
            <v>mV</v>
          </cell>
          <cell r="AG12">
            <v>1.8702819028376312E-3</v>
          </cell>
          <cell r="AH12" t="str">
            <v>mV</v>
          </cell>
        </row>
        <row r="55">
          <cell r="A55">
            <v>100</v>
          </cell>
          <cell r="B55" t="str">
            <v>µA</v>
          </cell>
          <cell r="D55">
            <v>0</v>
          </cell>
          <cell r="E55" t="str">
            <v>µA</v>
          </cell>
          <cell r="H55">
            <v>1.5140000000000002E-3</v>
          </cell>
          <cell r="I55" t="str">
            <v>µA</v>
          </cell>
          <cell r="L55">
            <v>2.5851836708140397E-3</v>
          </cell>
          <cell r="M55" t="str">
            <v>µA</v>
          </cell>
          <cell r="AG55">
            <v>7.0467184774730459E-3</v>
          </cell>
          <cell r="AH55" t="str">
            <v>µA</v>
          </cell>
        </row>
        <row r="56">
          <cell r="A56">
            <v>100</v>
          </cell>
          <cell r="B56" t="str">
            <v>µA</v>
          </cell>
          <cell r="D56">
            <v>10</v>
          </cell>
          <cell r="E56" t="str">
            <v>µA</v>
          </cell>
          <cell r="H56">
            <v>9.998386</v>
          </cell>
          <cell r="I56" t="str">
            <v>µA</v>
          </cell>
          <cell r="L56">
            <v>5.5809886013253873E-3</v>
          </cell>
          <cell r="M56" t="str">
            <v>µA</v>
          </cell>
          <cell r="AG56">
            <v>7.5163529493870668E-3</v>
          </cell>
          <cell r="AH56" t="str">
            <v>µA</v>
          </cell>
        </row>
        <row r="57">
          <cell r="A57">
            <v>100</v>
          </cell>
          <cell r="B57" t="str">
            <v>µA</v>
          </cell>
          <cell r="D57">
            <v>-10</v>
          </cell>
          <cell r="E57" t="str">
            <v>µA</v>
          </cell>
          <cell r="H57">
            <v>-10.001262000000001</v>
          </cell>
          <cell r="I57" t="str">
            <v>µA</v>
          </cell>
          <cell r="L57">
            <v>5.5711502359532261E-3</v>
          </cell>
          <cell r="M57" t="str">
            <v>µA</v>
          </cell>
          <cell r="AG57">
            <v>7.491678648750378E-3</v>
          </cell>
          <cell r="AH57" t="str">
            <v>µA</v>
          </cell>
        </row>
        <row r="58">
          <cell r="A58">
            <v>100</v>
          </cell>
          <cell r="B58" t="str">
            <v>µA</v>
          </cell>
          <cell r="D58">
            <v>50</v>
          </cell>
          <cell r="E58" t="str">
            <v>µA</v>
          </cell>
          <cell r="H58">
            <v>49.997618000000003</v>
          </cell>
          <cell r="I58" t="str">
            <v>µA</v>
          </cell>
          <cell r="L58">
            <v>5.8202083233709345E-3</v>
          </cell>
          <cell r="M58" t="str">
            <v>µA</v>
          </cell>
          <cell r="AG58">
            <v>9.4148850932109229E-3</v>
          </cell>
          <cell r="AH58" t="str">
            <v>µA</v>
          </cell>
        </row>
        <row r="59">
          <cell r="A59">
            <v>100</v>
          </cell>
          <cell r="B59" t="str">
            <v>µA</v>
          </cell>
          <cell r="D59">
            <v>-50</v>
          </cell>
          <cell r="E59" t="str">
            <v>µA</v>
          </cell>
          <cell r="H59">
            <v>-50.000454000000005</v>
          </cell>
          <cell r="I59" t="str">
            <v>µA</v>
          </cell>
          <cell r="L59">
            <v>5.2182385570418433E-3</v>
          </cell>
          <cell r="M59" t="str">
            <v>µA</v>
          </cell>
          <cell r="AG59">
            <v>9.3190400081518791E-3</v>
          </cell>
          <cell r="AH59" t="str">
            <v>µA</v>
          </cell>
        </row>
        <row r="60">
          <cell r="A60">
            <v>100</v>
          </cell>
          <cell r="B60" t="str">
            <v>µA</v>
          </cell>
          <cell r="D60">
            <v>90</v>
          </cell>
          <cell r="E60" t="str">
            <v>µA</v>
          </cell>
          <cell r="H60">
            <v>89.996812000000006</v>
          </cell>
          <cell r="I60" t="str">
            <v>µA</v>
          </cell>
          <cell r="L60">
            <v>6.0974280454217933E-3</v>
          </cell>
          <cell r="M60" t="str">
            <v>µA</v>
          </cell>
          <cell r="AG60">
            <v>1.1332934593651103E-2</v>
          </cell>
          <cell r="AH60" t="str">
            <v>µA</v>
          </cell>
        </row>
        <row r="61">
          <cell r="A61">
            <v>100</v>
          </cell>
          <cell r="B61" t="str">
            <v>µA</v>
          </cell>
          <cell r="D61">
            <v>-90</v>
          </cell>
          <cell r="E61" t="str">
            <v>µA</v>
          </cell>
          <cell r="H61">
            <v>-89.999760000000009</v>
          </cell>
          <cell r="I61" t="str">
            <v>µA</v>
          </cell>
          <cell r="L61">
            <v>4.9793268781286315E-3</v>
          </cell>
          <cell r="M61" t="str">
            <v>µA</v>
          </cell>
          <cell r="AG61">
            <v>1.1186757836537954E-2</v>
          </cell>
          <cell r="AH61" t="str">
            <v>µA</v>
          </cell>
        </row>
        <row r="62">
          <cell r="A62">
            <v>100</v>
          </cell>
          <cell r="B62" t="str">
            <v>µA</v>
          </cell>
          <cell r="D62">
            <v>100</v>
          </cell>
          <cell r="E62" t="str">
            <v>µA</v>
          </cell>
          <cell r="H62">
            <v>99.996528000000012</v>
          </cell>
          <cell r="I62" t="str">
            <v>µA</v>
          </cell>
          <cell r="L62">
            <v>6.249232975918062E-3</v>
          </cell>
          <cell r="M62" t="str">
            <v>µA</v>
          </cell>
          <cell r="AG62">
            <v>1.1814894601467601E-2</v>
          </cell>
          <cell r="AH62" t="str">
            <v>µA</v>
          </cell>
        </row>
        <row r="63">
          <cell r="A63">
            <v>100</v>
          </cell>
          <cell r="B63" t="str">
            <v>µA</v>
          </cell>
          <cell r="D63">
            <v>-100</v>
          </cell>
          <cell r="E63" t="str">
            <v>µA</v>
          </cell>
          <cell r="H63">
            <v>-99.999628000000001</v>
          </cell>
          <cell r="I63" t="str">
            <v>µA</v>
          </cell>
          <cell r="L63">
            <v>4.9610989583896981E-3</v>
          </cell>
          <cell r="M63" t="str">
            <v>µA</v>
          </cell>
          <cell r="AG63">
            <v>1.1651808398406027E-2</v>
          </cell>
          <cell r="AH63" t="str">
            <v>µA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"/>
      <sheetName val="unc"/>
      <sheetName val="cert"/>
    </sheetNames>
    <sheetDataSet>
      <sheetData sheetId="0">
        <row r="31">
          <cell r="M31">
            <v>1000.0850831666667</v>
          </cell>
        </row>
      </sheetData>
      <sheetData sheetId="1">
        <row r="7">
          <cell r="O7">
            <v>10.028213090066812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100 nF"/>
      <sheetName val="1 uF"/>
    </sheetNames>
    <sheetDataSet>
      <sheetData sheetId="0"/>
      <sheetData sheetId="1">
        <row r="19">
          <cell r="G19">
            <v>1</v>
          </cell>
        </row>
        <row r="20">
          <cell r="G20">
            <v>6.2831853071795862</v>
          </cell>
        </row>
        <row r="22">
          <cell r="E22">
            <v>15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53C1-DC04-49CF-B4B2-91E3085C9FDF}">
  <dimension ref="A2:L35"/>
  <sheetViews>
    <sheetView tabSelected="1" zoomScaleNormal="100" workbookViewId="0">
      <selection activeCell="F4" sqref="F4"/>
    </sheetView>
  </sheetViews>
  <sheetFormatPr defaultRowHeight="14.5" x14ac:dyDescent="0.35"/>
  <cols>
    <col min="1" max="6" width="16.6328125" customWidth="1"/>
    <col min="7" max="7" width="17.08984375" customWidth="1"/>
    <col min="8" max="8" width="3.6328125" customWidth="1"/>
    <col min="9" max="9" width="14.1796875" customWidth="1"/>
    <col min="10" max="10" width="3.453125" customWidth="1"/>
    <col min="11" max="11" width="13" customWidth="1"/>
    <col min="12" max="12" width="3.453125" customWidth="1"/>
  </cols>
  <sheetData>
    <row r="2" spans="1:12" x14ac:dyDescent="0.35">
      <c r="A2" s="22" t="s">
        <v>10</v>
      </c>
      <c r="B2" s="23"/>
      <c r="C2" s="23"/>
      <c r="D2" s="23"/>
      <c r="E2" s="24"/>
    </row>
    <row r="3" spans="1:12" x14ac:dyDescent="0.35">
      <c r="A3" s="25" t="s">
        <v>7</v>
      </c>
      <c r="B3" s="26"/>
      <c r="C3" s="26"/>
      <c r="D3" s="26"/>
      <c r="E3" s="27"/>
    </row>
    <row r="4" spans="1:12" x14ac:dyDescent="0.35">
      <c r="A4" s="25" t="s">
        <v>8</v>
      </c>
      <c r="B4" s="26"/>
      <c r="C4" s="26"/>
      <c r="D4" s="26"/>
      <c r="E4" s="27"/>
    </row>
    <row r="5" spans="1:12" x14ac:dyDescent="0.35">
      <c r="A5" s="25" t="s">
        <v>9</v>
      </c>
      <c r="B5" s="26"/>
      <c r="C5" s="26"/>
      <c r="D5" s="26"/>
      <c r="E5" s="27"/>
    </row>
    <row r="6" spans="1:12" x14ac:dyDescent="0.35">
      <c r="A6" s="30" t="s">
        <v>11</v>
      </c>
      <c r="B6" s="28"/>
      <c r="C6" s="28"/>
      <c r="D6" s="28"/>
      <c r="E6" s="29"/>
    </row>
    <row r="8" spans="1:12" ht="16" thickBot="1" x14ac:dyDescent="0.4">
      <c r="A8" s="1" t="s">
        <v>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" x14ac:dyDescent="0.35">
      <c r="A9" s="3" t="s">
        <v>5</v>
      </c>
      <c r="B9" s="3"/>
      <c r="C9" s="3" t="s">
        <v>5</v>
      </c>
      <c r="D9" s="3"/>
      <c r="E9" s="3" t="s">
        <v>5</v>
      </c>
      <c r="F9" s="3"/>
      <c r="G9" s="4" t="s">
        <v>0</v>
      </c>
      <c r="H9" s="4"/>
      <c r="I9" s="4" t="s">
        <v>1</v>
      </c>
      <c r="J9" s="4"/>
    </row>
    <row r="10" spans="1:12" ht="15" thickBot="1" x14ac:dyDescent="0.4">
      <c r="A10" s="5" t="s">
        <v>6</v>
      </c>
      <c r="B10" s="5"/>
      <c r="C10" s="5" t="s">
        <v>6</v>
      </c>
      <c r="D10" s="5"/>
      <c r="E10" s="5" t="s">
        <v>6</v>
      </c>
      <c r="F10" s="5"/>
      <c r="G10" s="6" t="s">
        <v>2</v>
      </c>
      <c r="H10" s="6"/>
      <c r="I10" s="6" t="s">
        <v>3</v>
      </c>
      <c r="J10" s="6"/>
    </row>
    <row r="11" spans="1:12" x14ac:dyDescent="0.35">
      <c r="A11" s="7">
        <f>[1]Eval!A4</f>
        <v>100</v>
      </c>
      <c r="B11" s="7" t="str">
        <f>[1]Eval!B4</f>
        <v>mV</v>
      </c>
      <c r="C11" s="8">
        <f>[1]Eval!D4</f>
        <v>0</v>
      </c>
      <c r="D11" s="9" t="str">
        <f>[1]Eval!E4</f>
        <v>mV</v>
      </c>
      <c r="E11" s="10">
        <f>[1]Eval!H4</f>
        <v>0</v>
      </c>
      <c r="F11" s="11" t="str">
        <f>[1]Eval!I4</f>
        <v>mV</v>
      </c>
      <c r="G11" s="10">
        <f>[1]Eval!L4</f>
        <v>-2.1072998394151658E-5</v>
      </c>
      <c r="H11" s="11" t="str">
        <f>[1]Eval!M4</f>
        <v>mV</v>
      </c>
      <c r="I11" s="10">
        <f>[1]Eval!AG4</f>
        <v>1.3270379326213483E-3</v>
      </c>
      <c r="J11" s="11" t="str">
        <f>[1]Eval!AH4</f>
        <v>mV</v>
      </c>
    </row>
    <row r="12" spans="1:12" x14ac:dyDescent="0.35">
      <c r="A12" s="9">
        <f>[1]Eval!A5</f>
        <v>100</v>
      </c>
      <c r="B12" s="9" t="str">
        <f>[1]Eval!B5</f>
        <v>mV</v>
      </c>
      <c r="C12" s="8">
        <f>[1]Eval!D5</f>
        <v>10</v>
      </c>
      <c r="D12" s="9" t="str">
        <f>[1]Eval!E5</f>
        <v>mV</v>
      </c>
      <c r="E12" s="10">
        <f>[1]Eval!H5</f>
        <v>10</v>
      </c>
      <c r="F12" s="11" t="str">
        <f>[1]Eval!I5</f>
        <v>mV</v>
      </c>
      <c r="G12" s="10">
        <f>[1]Eval!L5</f>
        <v>-1.1587106459387542E-4</v>
      </c>
      <c r="H12" s="11" t="str">
        <f>[1]Eval!M5</f>
        <v>mV</v>
      </c>
      <c r="I12" s="10">
        <f>[1]Eval!AG5</f>
        <v>1.3642618135625006E-3</v>
      </c>
      <c r="J12" s="11" t="str">
        <f>[1]Eval!AH5</f>
        <v>mV</v>
      </c>
    </row>
    <row r="13" spans="1:12" x14ac:dyDescent="0.35">
      <c r="A13" s="9">
        <f>[1]Eval!A6</f>
        <v>100</v>
      </c>
      <c r="B13" s="9" t="str">
        <f>[1]Eval!B6</f>
        <v>mV</v>
      </c>
      <c r="C13" s="8">
        <f>[1]Eval!D6</f>
        <v>-10</v>
      </c>
      <c r="D13" s="9" t="str">
        <f>[1]Eval!E6</f>
        <v>mV</v>
      </c>
      <c r="E13" s="10">
        <f>[1]Eval!H6</f>
        <v>-10</v>
      </c>
      <c r="F13" s="11" t="str">
        <f>[1]Eval!I6</f>
        <v>mV</v>
      </c>
      <c r="G13" s="10">
        <f>[1]Eval!L6</f>
        <v>-2.3787310221123903E-5</v>
      </c>
      <c r="H13" s="11" t="str">
        <f>[1]Eval!M6</f>
        <v>mV</v>
      </c>
      <c r="I13" s="10">
        <f>[1]Eval!AG6</f>
        <v>1.3616158512643525E-3</v>
      </c>
      <c r="J13" s="11" t="str">
        <f>[1]Eval!AH6</f>
        <v>mV</v>
      </c>
    </row>
    <row r="14" spans="1:12" x14ac:dyDescent="0.35">
      <c r="A14" s="9">
        <f>[1]Eval!A7</f>
        <v>100</v>
      </c>
      <c r="B14" s="9" t="str">
        <f>[1]Eval!B7</f>
        <v>mV</v>
      </c>
      <c r="C14" s="8">
        <f>[1]Eval!D7</f>
        <v>50</v>
      </c>
      <c r="D14" s="9" t="str">
        <f>[1]Eval!E7</f>
        <v>mV</v>
      </c>
      <c r="E14" s="10">
        <f>[1]Eval!H7</f>
        <v>50</v>
      </c>
      <c r="F14" s="11" t="str">
        <f>[1]Eval!I7</f>
        <v>mV</v>
      </c>
      <c r="G14" s="10">
        <f>[1]Eval!L7</f>
        <v>-4.950633293887563E-4</v>
      </c>
      <c r="H14" s="11" t="str">
        <f>[1]Eval!M7</f>
        <v>mV</v>
      </c>
      <c r="I14" s="10">
        <f>[1]Eval!AG7</f>
        <v>1.5741858775025054E-3</v>
      </c>
      <c r="J14" s="11" t="str">
        <f>[1]Eval!AH7</f>
        <v>mV</v>
      </c>
    </row>
    <row r="15" spans="1:12" x14ac:dyDescent="0.35">
      <c r="A15" s="9">
        <f>[1]Eval!A8</f>
        <v>100</v>
      </c>
      <c r="B15" s="9" t="str">
        <f>[1]Eval!B8</f>
        <v>mV</v>
      </c>
      <c r="C15" s="8">
        <f>[1]Eval!D8</f>
        <v>-50</v>
      </c>
      <c r="D15" s="9" t="str">
        <f>[1]Eval!E8</f>
        <v>mV</v>
      </c>
      <c r="E15" s="10">
        <f>[1]Eval!H8</f>
        <v>-50</v>
      </c>
      <c r="F15" s="11" t="str">
        <f>[1]Eval!I8</f>
        <v>mV</v>
      </c>
      <c r="G15" s="10">
        <f>[1]Eval!L8</f>
        <v>-7.1413584237234318E-5</v>
      </c>
      <c r="H15" s="11" t="str">
        <f>[1]Eval!M8</f>
        <v>mV</v>
      </c>
      <c r="I15" s="10">
        <f>[1]Eval!AG8</f>
        <v>1.5605757067291694E-3</v>
      </c>
      <c r="J15" s="11" t="str">
        <f>[1]Eval!AH8</f>
        <v>mV</v>
      </c>
    </row>
    <row r="16" spans="1:12" x14ac:dyDescent="0.35">
      <c r="A16" s="9">
        <f>[1]Eval!A9</f>
        <v>100</v>
      </c>
      <c r="B16" s="9" t="str">
        <f>[1]Eval!B9</f>
        <v>mV</v>
      </c>
      <c r="C16" s="8">
        <f>[1]Eval!D9</f>
        <v>90</v>
      </c>
      <c r="D16" s="9" t="str">
        <f>[1]Eval!E9</f>
        <v>mV</v>
      </c>
      <c r="E16" s="10">
        <f>[1]Eval!H9</f>
        <v>90</v>
      </c>
      <c r="F16" s="11" t="str">
        <f>[1]Eval!I9</f>
        <v>mV</v>
      </c>
      <c r="G16" s="10">
        <f>[1]Eval!L9</f>
        <v>-8.7425559418363719E-4</v>
      </c>
      <c r="H16" s="11" t="str">
        <f>[1]Eval!M9</f>
        <v>mV</v>
      </c>
      <c r="I16" s="10">
        <f>[1]Eval!AG9</f>
        <v>1.8243897925192178E-3</v>
      </c>
      <c r="J16" s="11" t="str">
        <f>[1]Eval!AH9</f>
        <v>mV</v>
      </c>
    </row>
    <row r="17" spans="1:12" x14ac:dyDescent="0.35">
      <c r="A17" s="9">
        <f>[1]Eval!A10</f>
        <v>100</v>
      </c>
      <c r="B17" s="9" t="str">
        <f>[1]Eval!B10</f>
        <v>mV</v>
      </c>
      <c r="C17" s="8">
        <f>[1]Eval!D10</f>
        <v>-90</v>
      </c>
      <c r="D17" s="9" t="str">
        <f>[1]Eval!E10</f>
        <v>mV</v>
      </c>
      <c r="E17" s="10">
        <f>[1]Eval!H10</f>
        <v>-90</v>
      </c>
      <c r="F17" s="11" t="str">
        <f>[1]Eval!I10</f>
        <v>mV</v>
      </c>
      <c r="G17" s="10">
        <f>[1]Eval!L10</f>
        <v>-1.1903985824801566E-4</v>
      </c>
      <c r="H17" s="11" t="str">
        <f>[1]Eval!M10</f>
        <v>mV</v>
      </c>
      <c r="I17" s="10">
        <f>[1]Eval!AG10</f>
        <v>1.8032863344270103E-3</v>
      </c>
      <c r="J17" s="11" t="str">
        <f>[1]Eval!AH10</f>
        <v>mV</v>
      </c>
    </row>
    <row r="18" spans="1:12" x14ac:dyDescent="0.35">
      <c r="A18" s="9">
        <f>[1]Eval!A11</f>
        <v>100</v>
      </c>
      <c r="B18" s="9" t="str">
        <f>[1]Eval!B11</f>
        <v>mV</v>
      </c>
      <c r="C18" s="8">
        <f>[1]Eval!D11</f>
        <v>100</v>
      </c>
      <c r="D18" s="9" t="str">
        <f>[1]Eval!E11</f>
        <v>mV</v>
      </c>
      <c r="E18" s="10">
        <f>[1]Eval!H11</f>
        <v>100</v>
      </c>
      <c r="F18" s="11" t="str">
        <f>[1]Eval!I11</f>
        <v>mV</v>
      </c>
      <c r="G18" s="10">
        <f>[1]Eval!L11</f>
        <v>-9.6905366038413376E-4</v>
      </c>
      <c r="H18" s="11" t="str">
        <f>[1]Eval!M11</f>
        <v>mV</v>
      </c>
      <c r="I18" s="10">
        <f>[1]Eval!AG11</f>
        <v>1.8929754069308114E-3</v>
      </c>
      <c r="J18" s="11" t="str">
        <f>[1]Eval!AH11</f>
        <v>mV</v>
      </c>
    </row>
    <row r="19" spans="1:12" x14ac:dyDescent="0.35">
      <c r="A19" s="9">
        <f>[1]Eval!A12</f>
        <v>100</v>
      </c>
      <c r="B19" s="9" t="str">
        <f>[1]Eval!B12</f>
        <v>mV</v>
      </c>
      <c r="C19" s="8">
        <f>[1]Eval!D12</f>
        <v>-100</v>
      </c>
      <c r="D19" s="9" t="str">
        <f>[1]Eval!E12</f>
        <v>mV</v>
      </c>
      <c r="E19" s="10">
        <f>[1]Eval!H12</f>
        <v>-100</v>
      </c>
      <c r="F19" s="11" t="str">
        <f>[1]Eval!I12</f>
        <v>mV</v>
      </c>
      <c r="G19" s="10">
        <f>[1]Eval!L12</f>
        <v>-1.30946426750711E-4</v>
      </c>
      <c r="H19" s="11" t="str">
        <f>[1]Eval!M12</f>
        <v>mV</v>
      </c>
      <c r="I19" s="10">
        <f>[1]Eval!AG12</f>
        <v>1.8702819028376312E-3</v>
      </c>
      <c r="J19" s="11" t="str">
        <f>[1]Eval!AH12</f>
        <v>mV</v>
      </c>
    </row>
    <row r="20" spans="1:12" x14ac:dyDescent="0.35">
      <c r="C20" s="12"/>
      <c r="D20" s="12"/>
      <c r="E20" s="9"/>
      <c r="G20" s="13"/>
      <c r="H20" s="13"/>
      <c r="I20" s="13"/>
      <c r="J20" s="13"/>
      <c r="K20" s="13"/>
      <c r="L20" s="13"/>
    </row>
    <row r="21" spans="1:12" ht="16" thickBot="1" x14ac:dyDescent="0.4">
      <c r="A21" s="1" t="s">
        <v>4</v>
      </c>
      <c r="B21" s="2"/>
      <c r="C21" s="2"/>
      <c r="D21" s="2"/>
      <c r="E21" s="2"/>
      <c r="F21" s="2"/>
      <c r="G21" s="14"/>
      <c r="H21" s="14"/>
      <c r="I21" s="14"/>
      <c r="J21" s="14"/>
      <c r="K21" s="2"/>
      <c r="L21" s="2"/>
    </row>
    <row r="22" spans="1:12" ht="15" x14ac:dyDescent="0.35">
      <c r="A22" s="3" t="s">
        <v>5</v>
      </c>
      <c r="B22" s="3"/>
      <c r="C22" s="3" t="s">
        <v>5</v>
      </c>
      <c r="D22" s="3"/>
      <c r="E22" s="3" t="s">
        <v>5</v>
      </c>
      <c r="F22" s="3"/>
      <c r="G22" s="4" t="s">
        <v>0</v>
      </c>
      <c r="H22" s="4"/>
      <c r="I22" s="4" t="s">
        <v>1</v>
      </c>
      <c r="J22" s="4"/>
      <c r="L22" s="15"/>
    </row>
    <row r="23" spans="1:12" ht="15" thickBot="1" x14ac:dyDescent="0.4">
      <c r="A23" s="5" t="s">
        <v>6</v>
      </c>
      <c r="B23" s="5"/>
      <c r="C23" s="5" t="s">
        <v>6</v>
      </c>
      <c r="D23" s="5"/>
      <c r="E23" s="5" t="s">
        <v>6</v>
      </c>
      <c r="F23" s="5"/>
      <c r="G23" s="6" t="s">
        <v>2</v>
      </c>
      <c r="H23" s="6"/>
      <c r="I23" s="6" t="s">
        <v>3</v>
      </c>
      <c r="J23" s="6"/>
      <c r="K23" s="16"/>
      <c r="L23" s="16"/>
    </row>
    <row r="24" spans="1:12" x14ac:dyDescent="0.35">
      <c r="A24" s="7">
        <f>[1]Eval!A55</f>
        <v>100</v>
      </c>
      <c r="B24" s="7" t="str">
        <f>[1]Eval!B55</f>
        <v>µA</v>
      </c>
      <c r="C24" s="9">
        <f>[1]Eval!D55</f>
        <v>0</v>
      </c>
      <c r="D24" s="9" t="str">
        <f>[1]Eval!E55</f>
        <v>µA</v>
      </c>
      <c r="E24" s="10">
        <f>[1]Eval!H55</f>
        <v>1.5140000000000002E-3</v>
      </c>
      <c r="F24" s="17" t="str">
        <f>[1]Eval!I55</f>
        <v>µA</v>
      </c>
      <c r="G24" s="10">
        <f>[1]Eval!L55</f>
        <v>2.5851836708140397E-3</v>
      </c>
      <c r="H24" s="17" t="str">
        <f>[1]Eval!M55</f>
        <v>µA</v>
      </c>
      <c r="I24" s="10">
        <f>[1]Eval!AG55</f>
        <v>7.0467184774730459E-3</v>
      </c>
      <c r="J24" s="17" t="str">
        <f>[1]Eval!AH55</f>
        <v>µA</v>
      </c>
    </row>
    <row r="25" spans="1:12" x14ac:dyDescent="0.35">
      <c r="A25" s="9">
        <f>[1]Eval!A56</f>
        <v>100</v>
      </c>
      <c r="B25" s="9" t="str">
        <f>[1]Eval!B56</f>
        <v>µA</v>
      </c>
      <c r="C25" s="9">
        <f>[1]Eval!D56</f>
        <v>10</v>
      </c>
      <c r="D25" s="9" t="str">
        <f>[1]Eval!E56</f>
        <v>µA</v>
      </c>
      <c r="E25" s="10">
        <f>[1]Eval!H56</f>
        <v>9.998386</v>
      </c>
      <c r="F25" s="17" t="str">
        <f>[1]Eval!I56</f>
        <v>µA</v>
      </c>
      <c r="G25" s="10">
        <f>[1]Eval!L56</f>
        <v>5.5809886013253873E-3</v>
      </c>
      <c r="H25" s="17" t="str">
        <f>[1]Eval!M56</f>
        <v>µA</v>
      </c>
      <c r="I25" s="10">
        <f>[1]Eval!AG56</f>
        <v>7.5163529493870668E-3</v>
      </c>
      <c r="J25" s="17" t="str">
        <f>[1]Eval!AH56</f>
        <v>µA</v>
      </c>
    </row>
    <row r="26" spans="1:12" x14ac:dyDescent="0.35">
      <c r="A26" s="9">
        <f>[1]Eval!A57</f>
        <v>100</v>
      </c>
      <c r="B26" s="9" t="str">
        <f>[1]Eval!B57</f>
        <v>µA</v>
      </c>
      <c r="C26" s="9">
        <f>[1]Eval!D57</f>
        <v>-10</v>
      </c>
      <c r="D26" s="9" t="str">
        <f>[1]Eval!E57</f>
        <v>µA</v>
      </c>
      <c r="E26" s="10">
        <f>[1]Eval!H57</f>
        <v>-10.001262000000001</v>
      </c>
      <c r="F26" s="17" t="str">
        <f>[1]Eval!I57</f>
        <v>µA</v>
      </c>
      <c r="G26" s="10">
        <f>[1]Eval!L57</f>
        <v>5.5711502359532261E-3</v>
      </c>
      <c r="H26" s="17" t="str">
        <f>[1]Eval!M57</f>
        <v>µA</v>
      </c>
      <c r="I26" s="10">
        <f>[1]Eval!AG57</f>
        <v>7.491678648750378E-3</v>
      </c>
      <c r="J26" s="17" t="str">
        <f>[1]Eval!AH57</f>
        <v>µA</v>
      </c>
    </row>
    <row r="27" spans="1:12" x14ac:dyDescent="0.35">
      <c r="A27" s="9">
        <f>[1]Eval!A58</f>
        <v>100</v>
      </c>
      <c r="B27" s="9" t="str">
        <f>[1]Eval!B58</f>
        <v>µA</v>
      </c>
      <c r="C27" s="9">
        <f>[1]Eval!D58</f>
        <v>50</v>
      </c>
      <c r="D27" s="9" t="str">
        <f>[1]Eval!E58</f>
        <v>µA</v>
      </c>
      <c r="E27" s="10">
        <f>[1]Eval!H58</f>
        <v>49.997618000000003</v>
      </c>
      <c r="F27" s="17" t="str">
        <f>[1]Eval!I58</f>
        <v>µA</v>
      </c>
      <c r="G27" s="10">
        <f>[1]Eval!L58</f>
        <v>5.8202083233709345E-3</v>
      </c>
      <c r="H27" s="17" t="str">
        <f>[1]Eval!M58</f>
        <v>µA</v>
      </c>
      <c r="I27" s="10">
        <f>[1]Eval!AG58</f>
        <v>9.4148850932109229E-3</v>
      </c>
      <c r="J27" s="17" t="str">
        <f>[1]Eval!AH58</f>
        <v>µA</v>
      </c>
    </row>
    <row r="28" spans="1:12" x14ac:dyDescent="0.35">
      <c r="A28" s="9">
        <f>[1]Eval!A59</f>
        <v>100</v>
      </c>
      <c r="B28" s="9" t="str">
        <f>[1]Eval!B59</f>
        <v>µA</v>
      </c>
      <c r="C28" s="9">
        <f>[1]Eval!D59</f>
        <v>-50</v>
      </c>
      <c r="D28" s="9" t="str">
        <f>[1]Eval!E59</f>
        <v>µA</v>
      </c>
      <c r="E28" s="10">
        <f>[1]Eval!H59</f>
        <v>-50.000454000000005</v>
      </c>
      <c r="F28" s="17" t="str">
        <f>[1]Eval!I59</f>
        <v>µA</v>
      </c>
      <c r="G28" s="10">
        <f>[1]Eval!L59</f>
        <v>5.2182385570418433E-3</v>
      </c>
      <c r="H28" s="17" t="str">
        <f>[1]Eval!M59</f>
        <v>µA</v>
      </c>
      <c r="I28" s="10">
        <f>[1]Eval!AG59</f>
        <v>9.3190400081518791E-3</v>
      </c>
      <c r="J28" s="17" t="str">
        <f>[1]Eval!AH59</f>
        <v>µA</v>
      </c>
    </row>
    <row r="29" spans="1:12" x14ac:dyDescent="0.35">
      <c r="A29" s="9">
        <f>[1]Eval!A60</f>
        <v>100</v>
      </c>
      <c r="B29" s="9" t="str">
        <f>[1]Eval!B60</f>
        <v>µA</v>
      </c>
      <c r="C29" s="9">
        <f>[1]Eval!D60</f>
        <v>90</v>
      </c>
      <c r="D29" s="9" t="str">
        <f>[1]Eval!E60</f>
        <v>µA</v>
      </c>
      <c r="E29" s="18">
        <f>[1]Eval!H60</f>
        <v>89.996812000000006</v>
      </c>
      <c r="F29" s="17" t="str">
        <f>[1]Eval!I60</f>
        <v>µA</v>
      </c>
      <c r="G29" s="18">
        <f>[1]Eval!L60</f>
        <v>6.0974280454217933E-3</v>
      </c>
      <c r="H29" s="17" t="str">
        <f>[1]Eval!M60</f>
        <v>µA</v>
      </c>
      <c r="I29" s="18">
        <f>[1]Eval!AG60</f>
        <v>1.1332934593651103E-2</v>
      </c>
      <c r="J29" s="17" t="str">
        <f>[1]Eval!AH60</f>
        <v>µA</v>
      </c>
    </row>
    <row r="30" spans="1:12" x14ac:dyDescent="0.35">
      <c r="A30" s="9">
        <f>[1]Eval!A61</f>
        <v>100</v>
      </c>
      <c r="B30" s="9" t="str">
        <f>[1]Eval!B61</f>
        <v>µA</v>
      </c>
      <c r="C30" s="9">
        <f>[1]Eval!D61</f>
        <v>-90</v>
      </c>
      <c r="D30" s="9" t="str">
        <f>[1]Eval!E61</f>
        <v>µA</v>
      </c>
      <c r="E30" s="18">
        <f>[1]Eval!H61</f>
        <v>-89.999760000000009</v>
      </c>
      <c r="F30" s="17" t="str">
        <f>[1]Eval!I61</f>
        <v>µA</v>
      </c>
      <c r="G30" s="18">
        <f>[1]Eval!L61</f>
        <v>4.9793268781286315E-3</v>
      </c>
      <c r="H30" s="17" t="str">
        <f>[1]Eval!M61</f>
        <v>µA</v>
      </c>
      <c r="I30" s="18">
        <f>[1]Eval!AG61</f>
        <v>1.1186757836537954E-2</v>
      </c>
      <c r="J30" s="17" t="str">
        <f>[1]Eval!AH61</f>
        <v>µA</v>
      </c>
    </row>
    <row r="31" spans="1:12" x14ac:dyDescent="0.35">
      <c r="A31" s="9">
        <f>[1]Eval!A62</f>
        <v>100</v>
      </c>
      <c r="B31" s="9" t="str">
        <f>[1]Eval!B62</f>
        <v>µA</v>
      </c>
      <c r="C31" s="9">
        <f>[1]Eval!D62</f>
        <v>100</v>
      </c>
      <c r="D31" s="9" t="str">
        <f>[1]Eval!E62</f>
        <v>µA</v>
      </c>
      <c r="E31" s="18">
        <f>[1]Eval!H62</f>
        <v>99.996528000000012</v>
      </c>
      <c r="F31" s="17" t="str">
        <f>[1]Eval!I62</f>
        <v>µA</v>
      </c>
      <c r="G31" s="18">
        <f>[1]Eval!L62</f>
        <v>6.249232975918062E-3</v>
      </c>
      <c r="H31" s="17" t="str">
        <f>[1]Eval!M62</f>
        <v>µA</v>
      </c>
      <c r="I31" s="18">
        <f>[1]Eval!AG62</f>
        <v>1.1814894601467601E-2</v>
      </c>
      <c r="J31" s="17" t="str">
        <f>[1]Eval!AH62</f>
        <v>µA</v>
      </c>
    </row>
    <row r="32" spans="1:12" x14ac:dyDescent="0.35">
      <c r="A32" s="9">
        <f>[1]Eval!A63</f>
        <v>100</v>
      </c>
      <c r="B32" s="9" t="str">
        <f>[1]Eval!B63</f>
        <v>µA</v>
      </c>
      <c r="C32" s="9">
        <f>[1]Eval!D63</f>
        <v>-100</v>
      </c>
      <c r="D32" s="9" t="str">
        <f>[1]Eval!E63</f>
        <v>µA</v>
      </c>
      <c r="E32" s="18">
        <f>[1]Eval!H63</f>
        <v>-99.999628000000001</v>
      </c>
      <c r="F32" s="17" t="str">
        <f>[1]Eval!I63</f>
        <v>µA</v>
      </c>
      <c r="G32" s="18">
        <f>[1]Eval!L63</f>
        <v>4.9610989583896981E-3</v>
      </c>
      <c r="H32" s="17" t="str">
        <f>[1]Eval!M63</f>
        <v>µA</v>
      </c>
      <c r="I32" s="18">
        <f>[1]Eval!AG63</f>
        <v>1.1651808398406027E-2</v>
      </c>
      <c r="J32" s="17" t="str">
        <f>[1]Eval!AH63</f>
        <v>µA</v>
      </c>
    </row>
    <row r="33" spans="1:12" x14ac:dyDescent="0.35">
      <c r="A33" s="9"/>
      <c r="B33" s="9"/>
      <c r="C33" s="9"/>
      <c r="D33" s="9"/>
      <c r="E33" s="9"/>
      <c r="F33" s="9"/>
      <c r="G33" s="19"/>
      <c r="H33" s="19"/>
      <c r="I33" s="19"/>
      <c r="J33" s="19"/>
      <c r="K33" s="19"/>
      <c r="L33" s="19"/>
    </row>
    <row r="34" spans="1:12" x14ac:dyDescent="0.35">
      <c r="A34" s="21"/>
      <c r="B34" s="21"/>
      <c r="C34" s="9"/>
      <c r="D34" s="9"/>
      <c r="E34" s="9"/>
      <c r="F34" s="9"/>
      <c r="G34" s="20"/>
      <c r="H34" s="20"/>
      <c r="I34" s="20"/>
      <c r="J34" s="20"/>
      <c r="K34" s="20"/>
      <c r="L34" s="20"/>
    </row>
    <row r="35" spans="1:12" ht="14.4" customHeight="1" x14ac:dyDescent="0.35"/>
  </sheetData>
  <mergeCells count="3">
    <mergeCell ref="G33:H33"/>
    <mergeCell ref="I33:J33"/>
    <mergeCell ref="K33:L33"/>
  </mergeCells>
  <pageMargins left="0.9055118110236221" right="0.59055118110236227" top="1.9685039370078741" bottom="0.9842519685039370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Hayati Amalia</dc:creator>
  <cp:lastModifiedBy>Hayati Amalia</cp:lastModifiedBy>
  <dcterms:created xsi:type="dcterms:W3CDTF">2025-10-08T04:03:54Z</dcterms:created>
  <dcterms:modified xsi:type="dcterms:W3CDTF">2025-10-08T04:15:27Z</dcterms:modified>
</cp:coreProperties>
</file>